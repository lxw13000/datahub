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<sst xmlns="http://schemas.openxmlformats.org/spreadsheetml/2006/main" count="12" uniqueCount="12">
  <si>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收益类型</t>
  </si>
  <si>
    <t>代理旗下主播收入</t>
  </si>
  <si>
    <t>主播分层</t>
  </si>
  <si>
    <t>公会提层</t>
  </si>
  <si>
    <t>公会实际收益提层</t>
  </si>
  <si>
    <t>jackpot</t>
  </si>
  <si>
    <t>原始消费金额</t>
  </si>
  <si>
    <t>平台利润率</t>
  </si>
  <si>
    <t>平台利润</t>
  </si>
  <si>
    <t>普通礼物</t>
  </si>
  <si>
    <t>幸运礼物</t>
  </si>
  <si>
    <t>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</si>
</sst>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G13" sqref="G13"/>
    </sheetView>
  </sheetViews>
  <sheetFormatPr defaultColWidth="9" defaultRowHeight="14" outlineLevelRow="3"/>
  <cols>
    <col min="1" max="1" width="17.2727272727273" customWidth="1"/>
    <col min="2" max="2" width="17.1818181818182" customWidth="1"/>
    <col min="3" max="6" width="14.5454545454545" customWidth="1"/>
    <col min="7" max="7" width="23.2727272727273" customWidth="1"/>
    <col min="8" max="8" width="14.1818181818182" customWidth="1"/>
    <col min="9" max="9" width="15.1818181818182" customWidth="1"/>
    <col min="10" max="10" width="20.5454545454545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100000</v>
      </c>
      <c r="C2" s="2">
        <v>0.7</v>
      </c>
      <c r="D2" s="2">
        <v>0.2</v>
      </c>
      <c r="E2" s="2">
        <f>D2*C2</f>
        <v>0.14</v>
      </c>
      <c r="F2" s="2">
        <v>0</v>
      </c>
      <c r="G2" s="3">
        <f>B2/C2</f>
        <v>142857.142857143</v>
      </c>
      <c r="H2" s="2">
        <f>1-C2-E2-F2</f>
        <v>0.16</v>
      </c>
      <c r="I2" s="3">
        <f>G2*H2</f>
        <v>22857.1428571429</v>
      </c>
    </row>
    <row r="3" spans="1:9">
      <c r="A3" s="2" t="s">
        <v>10</v>
      </c>
      <c r="B3" s="2">
        <v>100000</v>
      </c>
      <c r="C3" s="2">
        <v>0.02</v>
      </c>
      <c r="D3" s="2">
        <v>0.2</v>
      </c>
      <c r="E3" s="2">
        <f>D3*C3</f>
        <v>0.004</v>
      </c>
      <c r="F3" s="2">
        <v>0.005</v>
      </c>
      <c r="G3" s="3">
        <f>B3/C3</f>
        <v>5000000</v>
      </c>
      <c r="H3" s="2">
        <f>0.04-C3-E3-F3</f>
        <v>0.011</v>
      </c>
      <c r="I3" s="3">
        <f>G3*H3</f>
        <v>55000</v>
      </c>
    </row>
    <row r="4" spans="1:9">
      <c r="A4" s="2" t="s">
        <v>11</v>
      </c>
      <c r="B4" s="2">
        <v>100000</v>
      </c>
      <c r="C4" s="2">
        <v>0.005</v>
      </c>
      <c r="D4" s="2">
        <v>0.2</v>
      </c>
      <c r="E4" s="2">
        <v>0</v>
      </c>
      <c r="F4" s="2">
        <v>0.005</v>
      </c>
      <c r="G4" s="3">
        <f>B4/C4</f>
        <v>20000000</v>
      </c>
      <c r="H4" s="2">
        <f>0.04-C4-E4-F4</f>
        <v>0.03</v>
      </c>
      <c r="I4" s="3">
        <f>G4*H4</f>
        <v>600000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罗兴伟</dc:creator>
  <cp:lastModifiedBy>打铁还需自身硬</cp:lastModifiedBy>
  <dcterms:created xsi:type="dcterms:W3CDTF">2023-05-12T11:15:00Z</dcterms:created>
  <dcterms:modified xsi:type="dcterms:W3CDTF">2026-09-24T10:01:48Z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2052-12.1.0.16704</vt:lpwstr>
  </property>
  <property fmtid="{D5CDD505-2E9C-101B-9397-08002B2CF9AE}" pid="3" name="ICV">
    <vt:lpwstr>29230DAFDC874780A69728A2F4F0F018_12</vt:lpwstr>
  </property>
</Properties>
</file>